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GitHubRepos\Assistive_Switch_Collection\switches\All xls\"/>
    </mc:Choice>
  </mc:AlternateContent>
  <xr:revisionPtr revIDLastSave="0" documentId="8_{5697C0AF-D77F-4050-BCBA-208AE4873F37}" xr6:coauthVersionLast="47" xr6:coauthVersionMax="47" xr10:uidLastSave="{00000000-0000-0000-0000-000000000000}"/>
  <bookViews>
    <workbookView xWindow="18930" yWindow="2730" windowWidth="28785" windowHeight="15285" tabRatio="500" xr2:uid="{9056F8A3-9FCE-47DE-AC78-A5E54A181660}"/>
  </bookViews>
  <sheets>
    <sheet name="FLipmouse Partli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6" i="1" l="1"/>
  <c r="N16" i="1"/>
  <c r="M17" i="1"/>
  <c r="M54" i="1"/>
  <c r="M59" i="1" s="1"/>
  <c r="N17" i="1"/>
  <c r="M19" i="1"/>
  <c r="N19" i="1"/>
  <c r="M27" i="1"/>
  <c r="N27" i="1"/>
  <c r="N54" i="1" s="1"/>
  <c r="N59" i="1" s="1"/>
  <c r="M28" i="1"/>
  <c r="N28" i="1"/>
  <c r="N31" i="1"/>
  <c r="N33" i="1"/>
  <c r="M35" i="1"/>
  <c r="M55" i="1" s="1"/>
  <c r="M60" i="1" s="1"/>
  <c r="N35" i="1"/>
  <c r="N36" i="1"/>
  <c r="M45" i="1"/>
  <c r="N45" i="1"/>
  <c r="N48" i="1"/>
  <c r="N51" i="1"/>
  <c r="M52" i="1"/>
  <c r="N52" i="1"/>
  <c r="N56" i="1"/>
  <c r="N55" i="1" l="1"/>
  <c r="N60" i="1" s="1"/>
</calcChain>
</file>

<file path=xl/sharedStrings.xml><?xml version="1.0" encoding="utf-8"?>
<sst xmlns="http://schemas.openxmlformats.org/spreadsheetml/2006/main" count="340" uniqueCount="179">
  <si>
    <t>Device</t>
  </si>
  <si>
    <t>Package</t>
  </si>
  <si>
    <t>Parts</t>
  </si>
  <si>
    <t>Description</t>
  </si>
  <si>
    <t>Qty</t>
  </si>
  <si>
    <t>Farnell.com</t>
  </si>
  <si>
    <t>Digikey.com</t>
  </si>
  <si>
    <t>RS-Components</t>
  </si>
  <si>
    <t>aliexpress.com</t>
  </si>
  <si>
    <t>Others</t>
  </si>
  <si>
    <t>Pin count</t>
  </si>
  <si>
    <t>critical mounting
Position/direction</t>
  </si>
  <si>
    <t>Price
Single</t>
  </si>
  <si>
    <t>Price
100 Pieces</t>
  </si>
  <si>
    <t>all prices excl. VAT (€ if not otherwise noted)</t>
  </si>
  <si>
    <t>FLIpmouse – electronic parts</t>
  </si>
  <si>
    <t>31-XX</t>
  </si>
  <si>
    <t>B3F-31XX</t>
  </si>
  <si>
    <t>S1</t>
  </si>
  <si>
    <t xml:space="preserve">TE – SPST-NO, short button </t>
  </si>
  <si>
    <t>450-1656-ND</t>
  </si>
  <si>
    <t>718-2370</t>
  </si>
  <si>
    <t>yes</t>
  </si>
  <si>
    <t>S2</t>
  </si>
  <si>
    <t>EVQPF108K SWITCH, long Button</t>
  </si>
  <si>
    <t>P10884S-ND</t>
  </si>
  <si>
    <t>756-1599</t>
  </si>
  <si>
    <t>FE05-1</t>
  </si>
  <si>
    <t>SV1</t>
  </si>
  <si>
    <t>MALE HEADER, 90°, 1x5</t>
  </si>
  <si>
    <t>732-5338-ND</t>
  </si>
  <si>
    <t>828-1667</t>
  </si>
  <si>
    <t>LED3MM</t>
  </si>
  <si>
    <t xml:space="preserve">LED1 </t>
  </si>
  <si>
    <t>LED red – MCL514PD</t>
  </si>
  <si>
    <t>160-1708-ND</t>
  </si>
  <si>
    <t xml:space="preserve">LED2 </t>
  </si>
  <si>
    <t>LED yellow – MCL514YD</t>
  </si>
  <si>
    <t>160-1946-ND</t>
  </si>
  <si>
    <t>LED3</t>
  </si>
  <si>
    <t>LED green – MCL514GD</t>
  </si>
  <si>
    <t>160-1710-ND</t>
  </si>
  <si>
    <t>MA05-2</t>
  </si>
  <si>
    <t>AUX</t>
  </si>
  <si>
    <t>MALE HEADER, 2x5; Harwin M20</t>
  </si>
  <si>
    <t>952-2124-ND</t>
  </si>
  <si>
    <t>-</t>
  </si>
  <si>
    <t>RN04</t>
  </si>
  <si>
    <t>RN-5</t>
  </si>
  <si>
    <t>RN1</t>
  </si>
  <si>
    <t>Resistor network, 220R</t>
  </si>
  <si>
    <t>4605X-101-221LF-ND</t>
  </si>
  <si>
    <t>RN2</t>
  </si>
  <si>
    <t>Resistor network, 10k</t>
  </si>
  <si>
    <t>4605X-101-103LF-ND</t>
  </si>
  <si>
    <t>MPXV7007GP</t>
  </si>
  <si>
    <t>SMP_MX3V7007</t>
  </si>
  <si>
    <t>U$2</t>
  </si>
  <si>
    <t>5V pressure sensor</t>
  </si>
  <si>
    <t>MPXV7007GP-ND</t>
  </si>
  <si>
    <t>AVNet.com: MPXV7007GP (9,13€)</t>
  </si>
  <si>
    <t>TeensyLC – pin header</t>
  </si>
  <si>
    <t>MA14-1</t>
  </si>
  <si>
    <t>--</t>
  </si>
  <si>
    <t>MALE HEADER, 1x14</t>
  </si>
  <si>
    <t xml:space="preserve">732-5325-ND </t>
  </si>
  <si>
    <t>Alternative: 2356174 (farnell) /
 732-5333-ND (digikey)
For all 3 pin headers</t>
  </si>
  <si>
    <t>MA05-1</t>
  </si>
  <si>
    <t>MALE HEADER, 1x5</t>
  </si>
  <si>
    <t xml:space="preserve">732-5318-ND </t>
  </si>
  <si>
    <t>MA02-1</t>
  </si>
  <si>
    <t>I2C</t>
  </si>
  <si>
    <t>MALE HEADER, 1x2</t>
  </si>
  <si>
    <t xml:space="preserve">732-5315-ND </t>
  </si>
  <si>
    <t>C-EU025-025X050</t>
  </si>
  <si>
    <t>C025-025X050</t>
  </si>
  <si>
    <t>C1,C2</t>
  </si>
  <si>
    <t>100nF capacitor</t>
  </si>
  <si>
    <t>478-4855-ND</t>
  </si>
  <si>
    <t>1503_02</t>
  </si>
  <si>
    <t>X1,X2</t>
  </si>
  <si>
    <t>Jack plugs JISC 6560</t>
  </si>
  <si>
    <t>1216979</t>
  </si>
  <si>
    <t>24LC256P</t>
  </si>
  <si>
    <t>IC1</t>
  </si>
  <si>
    <t>I2C EEPROM</t>
  </si>
  <si>
    <t xml:space="preserve">24LC256-I/P-ND </t>
  </si>
  <si>
    <t>454-371</t>
  </si>
  <si>
    <t>R-EU_0309/V</t>
  </si>
  <si>
    <t>0309V</t>
  </si>
  <si>
    <t>R1,R2,R3,R11</t>
  </si>
  <si>
    <t xml:space="preserve">4k7, blue, </t>
  </si>
  <si>
    <t>LED5MM</t>
  </si>
  <si>
    <t>LED5</t>
  </si>
  <si>
    <t>LED</t>
  </si>
  <si>
    <t>751-1204-ND</t>
  </si>
  <si>
    <t>699-7635 (or 50pcs: 818-7663)</t>
  </si>
  <si>
    <t>R12</t>
  </si>
  <si>
    <t>12R, min 0.25W</t>
  </si>
  <si>
    <t>CFR-50JB-52-12R</t>
  </si>
  <si>
    <t>Piezo buzzer</t>
  </si>
  <si>
    <t>EFBAA40D101</t>
  </si>
  <si>
    <t>SG1</t>
  </si>
  <si>
    <t>piezo buzzer</t>
  </si>
  <si>
    <t>457-011</t>
  </si>
  <si>
    <t>Cheaper at rs-components</t>
  </si>
  <si>
    <t>TSOP4838</t>
  </si>
  <si>
    <t>TSOP2XXX</t>
  </si>
  <si>
    <t>U3</t>
  </si>
  <si>
    <t>TSOP4838-ND</t>
  </si>
  <si>
    <t>708-5115 (or 90pcs: 919-0014)</t>
  </si>
  <si>
    <t>BS170</t>
  </si>
  <si>
    <t>TO-92</t>
  </si>
  <si>
    <t>Q1</t>
  </si>
  <si>
    <t>N-MOS FET, BS170</t>
  </si>
  <si>
    <t>BS170_D75ZCT-ND</t>
  </si>
  <si>
    <t>671-4736</t>
  </si>
  <si>
    <t>FllipMouse daughterboard &amp; mechanical parts</t>
  </si>
  <si>
    <t>header 5pol</t>
  </si>
  <si>
    <t>FEMALE HEADER, 1x5</t>
  </si>
  <si>
    <t>SAM1122-05-ND</t>
  </si>
  <si>
    <t>Alternative: 9728910 (Farnell, for 7)</t>
  </si>
  <si>
    <t>FSR</t>
  </si>
  <si>
    <t>FSR Sensor</t>
  </si>
  <si>
    <t>1027-1000-ND</t>
  </si>
  <si>
    <t>Electrade.de: FSR400</t>
  </si>
  <si>
    <t>Daughterboard PCB</t>
  </si>
  <si>
    <t>PCBPool, etc.</t>
  </si>
  <si>
    <t>Spacer – adjusting pin header/LEDs</t>
  </si>
  <si>
    <t>self printed</t>
  </si>
  <si>
    <t>M4 plate</t>
  </si>
  <si>
    <t>LuerLock</t>
  </si>
  <si>
    <t>Search for „luer lock m5“</t>
  </si>
  <si>
    <t>www.droh.de: CHLLFB20</t>
  </si>
  <si>
    <t>Plastic pipe 5cm, 4/2mm dia</t>
  </si>
  <si>
    <t>e.g. Amazon: B00K5U4TE8</t>
  </si>
  <si>
    <t>Flipmouse Teensy, PCB</t>
  </si>
  <si>
    <t>Compression spring (0.5x7x15mm)</t>
  </si>
  <si>
    <t xml:space="preserve">federnshop.com: D-068A-02 </t>
  </si>
  <si>
    <t>Rubber pads</t>
  </si>
  <si>
    <t>SJ5003-0-ND</t>
  </si>
  <si>
    <t>TEENSYLC</t>
  </si>
  <si>
    <t>TEENSY_3.1_BASIC</t>
  </si>
  <si>
    <t>TeensyLC</t>
  </si>
  <si>
    <t>1568-1233-ND</t>
  </si>
  <si>
    <t>watterott.com (or: PJRC.com)</t>
  </si>
  <si>
    <t>Mouthpiece</t>
  </si>
  <si>
    <t>https://quadjoy.com/shop/</t>
  </si>
  <si>
    <t>Hot shoe adapter (mounting)</t>
  </si>
  <si>
    <t>Search for „3/8"  hot shoe mount“</t>
  </si>
  <si>
    <t>Amazon: B00RSXM3U2</t>
  </si>
  <si>
    <t>USB cable</t>
  </si>
  <si>
    <t>Search for „MicroUSB cable 1m“</t>
  </si>
  <si>
    <t>USB stick</t>
  </si>
  <si>
    <t>Search for „8GB USB Stick orange“</t>
  </si>
  <si>
    <t>Packaging</t>
  </si>
  <si>
    <t>Parts ONLY for Lasercut – Acrylic case</t>
  </si>
  <si>
    <t>M4x25 screw</t>
  </si>
  <si>
    <t>36-29358-ND</t>
  </si>
  <si>
    <t>Glue</t>
  </si>
  <si>
    <t>Acrylic glass case set</t>
  </si>
  <si>
    <t>Lasercut</t>
  </si>
  <si>
    <t>M3x06 screw</t>
  </si>
  <si>
    <t>36-29341-ND</t>
  </si>
  <si>
    <t>Parts ONLY for 3D printed case</t>
  </si>
  <si>
    <t>M3x25 screw</t>
  </si>
  <si>
    <t>3D printed case</t>
  </si>
  <si>
    <t>Sum (laser cut):</t>
  </si>
  <si>
    <t>Sum (3D print):</t>
  </si>
  <si>
    <t>Shipping costs:</t>
  </si>
  <si>
    <t>TOTAL (laser cut):</t>
  </si>
  <si>
    <t>TOTAL (3D print):</t>
  </si>
  <si>
    <t>Including 20% VAT</t>
  </si>
  <si>
    <t>Ratioform 167-5w</t>
  </si>
  <si>
    <t>Stülpkarton</t>
  </si>
  <si>
    <t>Ratioform W129</t>
  </si>
  <si>
    <t>Verpackungskarton</t>
  </si>
  <si>
    <t>Packing material (send carton)</t>
  </si>
  <si>
    <t>Packing material (box for kit)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</si>
</sst>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50"/>
        <bgColor indexed="55"/>
      </patternFill>
    </fill>
    <fill>
      <patternFill patternType="solid">
        <fgColor indexed="29"/>
        <bgColor indexed="45"/>
      </patternFill>
    </fill>
  </fills>
  <borders count="2">
    <border>
      <left/>
      <right/>
      <top/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1" xfId="0" applyFont="1" applyFill="1" applyBorder="1"/>
    <xf numFmtId="0" fontId="0" fillId="2" borderId="1" xfId="0" applyFont="1" applyFill="1" applyBorder="1"/>
    <xf numFmtId="0" fontId="1" fillId="0" borderId="1" xfId="0" applyFont="1" applyBorder="1"/>
    <xf numFmtId="0" fontId="0" fillId="0" borderId="1" xfId="0" applyFont="1" applyBorder="1"/>
    <xf numFmtId="0" fontId="0" fillId="2" borderId="1" xfId="0" applyFont="1" applyFill="1" applyBorder="1" applyAlignment="1">
      <alignment wrapText="1"/>
    </xf>
    <xf numFmtId="0" fontId="0" fillId="0" borderId="1" xfId="0" applyFill="1" applyBorder="1"/>
    <xf numFmtId="0" fontId="0" fillId="0" borderId="0" xfId="0" applyFill="1"/>
    <xf numFmtId="0" fontId="0" fillId="0" borderId="1" xfId="0" applyFont="1" applyFill="1" applyBorder="1" applyAlignment="1">
      <alignment wrapText="1"/>
    </xf>
    <xf numFmtId="49" fontId="0" fillId="2" borderId="1" xfId="0" applyNumberFormat="1" applyFont="1" applyFill="1" applyBorder="1" applyAlignment="1">
      <alignment horizontal="right"/>
    </xf>
    <xf numFmtId="0" fontId="0" fillId="0" borderId="0" xfId="0" applyFont="1" applyBorder="1"/>
    <xf numFmtId="0" fontId="0" fillId="0" borderId="1" xfId="0" applyFont="1" applyBorder="1" applyAlignment="1">
      <alignment wrapText="1"/>
    </xf>
    <xf numFmtId="0" fontId="0" fillId="0" borderId="1" xfId="0" applyBorder="1"/>
    <xf numFmtId="0" fontId="0" fillId="2" borderId="1" xfId="0" applyFont="1" applyFill="1" applyBorder="1" applyAlignment="1">
      <alignment horizontal="left"/>
    </xf>
    <xf numFmtId="0" fontId="1" fillId="0" borderId="0" xfId="0" applyFont="1" applyAlignment="1">
      <alignment horizontal="right"/>
    </xf>
    <xf numFmtId="2" fontId="2" fillId="0" borderId="0" xfId="0" applyNumberFormat="1" applyFont="1"/>
    <xf numFmtId="2" fontId="0" fillId="0" borderId="0" xfId="0" applyNumberFormat="1"/>
    <xf numFmtId="0" fontId="0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2" fontId="3" fillId="0" borderId="0" xfId="0" applyNumberFormat="1" applyFont="1"/>
    <xf numFmtId="0" fontId="0" fillId="0" borderId="0" xfId="0" applyFont="1"/>
    <xf numFmtId="0" fontId="2" fillId="3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9966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4BD5E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8DDD8-07ED-4DFA-AEED-C5C71C285D01}">
  <dimension ref="A1:O65536"/>
  <sheetViews>
    <sheetView tabSelected="1" topLeftCell="E36" zoomScale="85" zoomScaleNormal="85" workbookViewId="0">
      <selection activeCell="N57" sqref="N57"/>
    </sheetView>
  </sheetViews>
  <sheetFormatPr defaultColWidth="9.7109375" defaultRowHeight="14.1" customHeight="1" x14ac:dyDescent="0.2"/>
  <cols>
    <col min="1" max="1" width="30.28515625" customWidth="1"/>
    <col min="2" max="2" width="19.42578125" customWidth="1"/>
    <col min="3" max="3" width="17.28515625" customWidth="1"/>
    <col min="4" max="4" width="28.28515625" customWidth="1"/>
    <col min="5" max="5" width="6.28515625" customWidth="1"/>
    <col min="6" max="6" width="16.5703125" customWidth="1"/>
    <col min="7" max="7" width="18.7109375" customWidth="1"/>
    <col min="8" max="8" width="26.7109375" customWidth="1"/>
    <col min="9" max="9" width="28.28515625" customWidth="1"/>
    <col min="10" max="10" width="35.7109375" customWidth="1"/>
    <col min="11" max="11" width="9.7109375" customWidth="1"/>
    <col min="12" max="12" width="22.42578125" customWidth="1"/>
    <col min="13" max="13" width="9.7109375" customWidth="1"/>
    <col min="14" max="14" width="15.28515625" customWidth="1"/>
  </cols>
  <sheetData>
    <row r="1" spans="1:15" s="1" customFormat="1" ht="35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2" t="s">
        <v>13</v>
      </c>
      <c r="O1" s="1" t="s">
        <v>14</v>
      </c>
    </row>
    <row r="2" spans="1:15" s="1" customFormat="1" ht="16.899999999999999" customHeight="1" x14ac:dyDescent="0.25">
      <c r="A2" s="23" t="s">
        <v>15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</row>
    <row r="3" spans="1:15" s="1" customFormat="1" ht="16.899999999999999" customHeight="1" x14ac:dyDescent="0.25">
      <c r="A3" s="3" t="s">
        <v>16</v>
      </c>
      <c r="B3" s="3" t="s">
        <v>17</v>
      </c>
      <c r="C3" s="3" t="s">
        <v>18</v>
      </c>
      <c r="D3" s="3" t="s">
        <v>19</v>
      </c>
      <c r="E3" s="3">
        <v>1</v>
      </c>
      <c r="F3" s="3">
        <v>2452343</v>
      </c>
      <c r="G3" s="3" t="s">
        <v>20</v>
      </c>
      <c r="H3" s="4" t="s">
        <v>21</v>
      </c>
      <c r="I3" s="5"/>
      <c r="J3" s="5"/>
      <c r="K3" s="6">
        <v>4</v>
      </c>
      <c r="L3" s="6" t="s">
        <v>22</v>
      </c>
      <c r="M3" s="6">
        <v>8.6000000000000007E-2</v>
      </c>
      <c r="N3" s="6">
        <v>7.8E-2</v>
      </c>
    </row>
    <row r="4" spans="1:15" s="9" customFormat="1" ht="14.65" customHeight="1" x14ac:dyDescent="0.2">
      <c r="A4" s="3" t="s">
        <v>16</v>
      </c>
      <c r="B4" s="3" t="s">
        <v>17</v>
      </c>
      <c r="C4" s="3" t="s">
        <v>23</v>
      </c>
      <c r="D4" s="3" t="s">
        <v>24</v>
      </c>
      <c r="E4" s="3">
        <v>1</v>
      </c>
      <c r="F4" s="7">
        <v>2079506</v>
      </c>
      <c r="G4" s="3" t="s">
        <v>25</v>
      </c>
      <c r="H4" s="3" t="s">
        <v>26</v>
      </c>
      <c r="I4" s="3"/>
      <c r="J4" s="8"/>
      <c r="K4" s="3">
        <v>4</v>
      </c>
      <c r="L4" s="3" t="s">
        <v>22</v>
      </c>
      <c r="M4" s="6">
        <v>0.18</v>
      </c>
      <c r="N4" s="6">
        <v>0.13</v>
      </c>
    </row>
    <row r="5" spans="1:15" s="9" customFormat="1" ht="14.65" customHeight="1" x14ac:dyDescent="0.2">
      <c r="A5" s="3" t="s">
        <v>27</v>
      </c>
      <c r="B5" s="3" t="s">
        <v>27</v>
      </c>
      <c r="C5" s="3" t="s">
        <v>28</v>
      </c>
      <c r="D5" s="3" t="s">
        <v>29</v>
      </c>
      <c r="E5" s="3">
        <v>1</v>
      </c>
      <c r="F5" s="4">
        <v>2356179</v>
      </c>
      <c r="G5" s="3" t="s">
        <v>30</v>
      </c>
      <c r="H5" s="3" t="s">
        <v>31</v>
      </c>
      <c r="I5" s="3"/>
      <c r="J5" s="8"/>
      <c r="K5" s="3">
        <v>5</v>
      </c>
      <c r="L5" s="3" t="s">
        <v>22</v>
      </c>
      <c r="M5" s="6">
        <v>0.37</v>
      </c>
      <c r="N5" s="6">
        <v>0.20800000000000002</v>
      </c>
    </row>
    <row r="6" spans="1:15" s="9" customFormat="1" ht="14.65" customHeight="1" x14ac:dyDescent="0.2">
      <c r="A6" s="3" t="s">
        <v>32</v>
      </c>
      <c r="B6" s="3" t="s">
        <v>32</v>
      </c>
      <c r="C6" s="3" t="s">
        <v>33</v>
      </c>
      <c r="D6" s="3" t="s">
        <v>34</v>
      </c>
      <c r="E6" s="3">
        <v>1</v>
      </c>
      <c r="F6" s="4">
        <v>1581128</v>
      </c>
      <c r="G6" s="3" t="s">
        <v>35</v>
      </c>
      <c r="H6" s="3"/>
      <c r="I6" s="3"/>
      <c r="J6" s="8"/>
      <c r="K6" s="3">
        <v>2</v>
      </c>
      <c r="L6" s="3" t="s">
        <v>22</v>
      </c>
      <c r="M6" s="6">
        <v>0.153</v>
      </c>
      <c r="N6" s="6">
        <v>6.8900000000000003E-2</v>
      </c>
    </row>
    <row r="7" spans="1:15" s="9" customFormat="1" ht="14.65" customHeight="1" x14ac:dyDescent="0.2">
      <c r="A7" s="3" t="s">
        <v>32</v>
      </c>
      <c r="B7" s="3" t="s">
        <v>32</v>
      </c>
      <c r="C7" s="3" t="s">
        <v>36</v>
      </c>
      <c r="D7" s="3" t="s">
        <v>37</v>
      </c>
      <c r="E7" s="3">
        <v>1</v>
      </c>
      <c r="F7" s="4">
        <v>1581131</v>
      </c>
      <c r="G7" s="3" t="s">
        <v>38</v>
      </c>
      <c r="H7" s="3"/>
      <c r="I7" s="3"/>
      <c r="J7" s="8"/>
      <c r="K7" s="3">
        <v>2</v>
      </c>
      <c r="L7" s="3" t="s">
        <v>22</v>
      </c>
      <c r="M7" s="6">
        <v>0.249</v>
      </c>
      <c r="N7" s="6">
        <v>8.48E-2</v>
      </c>
    </row>
    <row r="8" spans="1:15" s="9" customFormat="1" ht="14.65" customHeight="1" x14ac:dyDescent="0.2">
      <c r="A8" s="3" t="s">
        <v>32</v>
      </c>
      <c r="B8" s="3" t="s">
        <v>32</v>
      </c>
      <c r="C8" s="3" t="s">
        <v>39</v>
      </c>
      <c r="D8" s="3" t="s">
        <v>40</v>
      </c>
      <c r="E8" s="3">
        <v>1</v>
      </c>
      <c r="F8" s="4">
        <v>1581130</v>
      </c>
      <c r="G8" s="3" t="s">
        <v>41</v>
      </c>
      <c r="H8" s="3"/>
      <c r="I8"/>
      <c r="J8" s="8"/>
      <c r="K8" s="3">
        <v>2</v>
      </c>
      <c r="L8" s="3" t="s">
        <v>22</v>
      </c>
      <c r="M8" s="6">
        <v>0.19800000000000001</v>
      </c>
      <c r="N8" s="6">
        <v>8.48E-2</v>
      </c>
    </row>
    <row r="9" spans="1:15" s="9" customFormat="1" ht="14.65" customHeight="1" x14ac:dyDescent="0.2">
      <c r="A9" s="3" t="s">
        <v>42</v>
      </c>
      <c r="B9" s="3" t="s">
        <v>42</v>
      </c>
      <c r="C9" s="3" t="s">
        <v>43</v>
      </c>
      <c r="D9" s="3" t="s">
        <v>44</v>
      </c>
      <c r="E9" s="3">
        <v>1</v>
      </c>
      <c r="F9" s="4">
        <v>1022236</v>
      </c>
      <c r="G9" s="3" t="s">
        <v>45</v>
      </c>
      <c r="H9" s="3"/>
      <c r="I9" s="3"/>
      <c r="J9" s="8"/>
      <c r="K9" s="3">
        <v>10</v>
      </c>
      <c r="L9" s="3" t="s">
        <v>46</v>
      </c>
      <c r="M9" s="6">
        <v>0.25800000000000001</v>
      </c>
      <c r="N9" s="6">
        <v>0.222</v>
      </c>
    </row>
    <row r="10" spans="1:15" s="9" customFormat="1" ht="14.65" customHeight="1" x14ac:dyDescent="0.2">
      <c r="A10" s="6" t="s">
        <v>47</v>
      </c>
      <c r="B10" s="6" t="s">
        <v>48</v>
      </c>
      <c r="C10" s="3" t="s">
        <v>49</v>
      </c>
      <c r="D10" s="3" t="s">
        <v>50</v>
      </c>
      <c r="E10" s="3">
        <v>1</v>
      </c>
      <c r="F10" s="4">
        <v>2333623</v>
      </c>
      <c r="G10" s="3" t="s">
        <v>51</v>
      </c>
      <c r="H10" s="3"/>
      <c r="I10" s="3"/>
      <c r="J10" s="8"/>
      <c r="K10" s="3">
        <v>5</v>
      </c>
      <c r="L10" s="3" t="s">
        <v>22</v>
      </c>
      <c r="M10" s="6">
        <v>0.36199999999999999</v>
      </c>
      <c r="N10" s="6">
        <v>0.153</v>
      </c>
    </row>
    <row r="11" spans="1:15" s="9" customFormat="1" ht="14.65" customHeight="1" x14ac:dyDescent="0.2">
      <c r="A11" s="6" t="s">
        <v>47</v>
      </c>
      <c r="B11" s="6" t="s">
        <v>48</v>
      </c>
      <c r="C11" s="3" t="s">
        <v>52</v>
      </c>
      <c r="D11" s="3" t="s">
        <v>53</v>
      </c>
      <c r="E11" s="3">
        <v>1</v>
      </c>
      <c r="F11" s="4">
        <v>9356061</v>
      </c>
      <c r="G11" s="3" t="s">
        <v>54</v>
      </c>
      <c r="H11" s="3"/>
      <c r="I11" s="3"/>
      <c r="J11" s="8"/>
      <c r="K11" s="3">
        <v>5</v>
      </c>
      <c r="L11" s="3" t="s">
        <v>22</v>
      </c>
      <c r="M11" s="6">
        <v>0.38100000000000001</v>
      </c>
      <c r="N11" s="6">
        <v>0.20800000000000002</v>
      </c>
    </row>
    <row r="12" spans="1:15" s="9" customFormat="1" ht="14.65" customHeight="1" x14ac:dyDescent="0.2">
      <c r="A12" s="3" t="s">
        <v>55</v>
      </c>
      <c r="B12" s="3" t="s">
        <v>56</v>
      </c>
      <c r="C12" s="3" t="s">
        <v>57</v>
      </c>
      <c r="D12" s="3" t="s">
        <v>58</v>
      </c>
      <c r="E12" s="3">
        <v>1</v>
      </c>
      <c r="F12" s="3"/>
      <c r="G12" s="3" t="s">
        <v>59</v>
      </c>
      <c r="H12" s="3"/>
      <c r="I12" s="3"/>
      <c r="J12" s="4" t="s">
        <v>60</v>
      </c>
      <c r="K12" s="3">
        <v>8</v>
      </c>
      <c r="L12" s="3" t="s">
        <v>22</v>
      </c>
      <c r="M12" s="3">
        <v>13.95</v>
      </c>
      <c r="N12" s="3">
        <v>9.3000000000000007</v>
      </c>
    </row>
    <row r="13" spans="1:15" s="9" customFormat="1" ht="16.5" customHeight="1" x14ac:dyDescent="0.2">
      <c r="A13" s="3" t="s">
        <v>61</v>
      </c>
      <c r="B13" s="3" t="s">
        <v>62</v>
      </c>
      <c r="C13" s="3" t="s">
        <v>63</v>
      </c>
      <c r="D13" s="10" t="s">
        <v>64</v>
      </c>
      <c r="E13" s="3">
        <v>2</v>
      </c>
      <c r="F13" s="4">
        <v>2356164</v>
      </c>
      <c r="G13" s="3" t="s">
        <v>65</v>
      </c>
      <c r="H13" s="3"/>
      <c r="I13" s="3"/>
      <c r="J13" s="24" t="s">
        <v>66</v>
      </c>
      <c r="K13" s="3">
        <v>14</v>
      </c>
      <c r="L13" s="3" t="s">
        <v>46</v>
      </c>
      <c r="M13" s="6">
        <v>1.77</v>
      </c>
      <c r="N13" s="6">
        <v>0.89600000000000002</v>
      </c>
    </row>
    <row r="14" spans="1:15" s="9" customFormat="1" ht="14.65" customHeight="1" x14ac:dyDescent="0.2">
      <c r="A14" s="3" t="s">
        <v>61</v>
      </c>
      <c r="B14" s="3" t="s">
        <v>67</v>
      </c>
      <c r="C14" s="3" t="s">
        <v>63</v>
      </c>
      <c r="D14" s="10" t="s">
        <v>68</v>
      </c>
      <c r="E14" s="3">
        <v>1</v>
      </c>
      <c r="F14" s="4">
        <v>2356157</v>
      </c>
      <c r="G14" s="3" t="s">
        <v>69</v>
      </c>
      <c r="H14" s="3"/>
      <c r="I14" s="3"/>
      <c r="J14" s="24"/>
      <c r="K14" s="3">
        <v>5</v>
      </c>
      <c r="L14" s="3" t="s">
        <v>46</v>
      </c>
      <c r="M14" s="6">
        <v>0</v>
      </c>
      <c r="N14" s="6">
        <v>0</v>
      </c>
    </row>
    <row r="15" spans="1:15" s="9" customFormat="1" ht="14.65" customHeight="1" x14ac:dyDescent="0.2">
      <c r="A15" s="3" t="s">
        <v>70</v>
      </c>
      <c r="B15" s="3" t="s">
        <v>70</v>
      </c>
      <c r="C15" s="3" t="s">
        <v>71</v>
      </c>
      <c r="D15" s="10" t="s">
        <v>72</v>
      </c>
      <c r="E15" s="3">
        <v>1</v>
      </c>
      <c r="F15" s="4">
        <v>2356153</v>
      </c>
      <c r="G15" s="3" t="s">
        <v>73</v>
      </c>
      <c r="H15" s="3"/>
      <c r="I15" s="3"/>
      <c r="J15" s="24"/>
      <c r="K15" s="3">
        <v>2</v>
      </c>
      <c r="L15" s="3" t="s">
        <v>46</v>
      </c>
      <c r="M15" s="6">
        <v>0</v>
      </c>
      <c r="N15" s="6">
        <v>0</v>
      </c>
    </row>
    <row r="16" spans="1:15" s="9" customFormat="1" ht="14.65" customHeight="1" x14ac:dyDescent="0.2">
      <c r="A16" s="6" t="s">
        <v>74</v>
      </c>
      <c r="B16" s="6" t="s">
        <v>75</v>
      </c>
      <c r="C16" s="6" t="s">
        <v>76</v>
      </c>
      <c r="D16" s="6" t="s">
        <v>77</v>
      </c>
      <c r="E16" s="6">
        <v>2</v>
      </c>
      <c r="F16" s="4">
        <v>2112751</v>
      </c>
      <c r="G16" s="6" t="s">
        <v>78</v>
      </c>
      <c r="H16" s="6"/>
      <c r="I16" s="6"/>
      <c r="J16" s="6"/>
      <c r="K16" s="6">
        <v>2</v>
      </c>
      <c r="L16" s="6" t="s">
        <v>46</v>
      </c>
      <c r="M16" s="6">
        <f>0.105*2</f>
        <v>0.21</v>
      </c>
      <c r="N16" s="6">
        <f>0.0605*2</f>
        <v>0.12100000000000001</v>
      </c>
    </row>
    <row r="17" spans="1:14" ht="14.65" customHeight="1" x14ac:dyDescent="0.2">
      <c r="A17" s="6" t="s">
        <v>79</v>
      </c>
      <c r="B17" s="6" t="s">
        <v>79</v>
      </c>
      <c r="C17" s="6" t="s">
        <v>80</v>
      </c>
      <c r="D17" s="6" t="s">
        <v>81</v>
      </c>
      <c r="E17" s="6">
        <v>2</v>
      </c>
      <c r="F17" s="11" t="s">
        <v>82</v>
      </c>
      <c r="G17" s="6"/>
      <c r="H17" s="6"/>
      <c r="I17" s="6"/>
      <c r="J17" s="6"/>
      <c r="K17" s="6">
        <v>4</v>
      </c>
      <c r="L17" s="6" t="s">
        <v>22</v>
      </c>
      <c r="M17" s="6">
        <f>2*1.41</f>
        <v>2.8200000000000003</v>
      </c>
      <c r="N17" s="6">
        <f>2*1.14</f>
        <v>2.2800000000000002</v>
      </c>
    </row>
    <row r="18" spans="1:14" ht="14.65" customHeight="1" x14ac:dyDescent="0.2">
      <c r="A18" s="6" t="s">
        <v>83</v>
      </c>
      <c r="B18" s="6" t="s">
        <v>83</v>
      </c>
      <c r="C18" s="6" t="s">
        <v>84</v>
      </c>
      <c r="D18" s="6" t="s">
        <v>85</v>
      </c>
      <c r="E18" s="6">
        <v>1</v>
      </c>
      <c r="F18" s="3">
        <v>9757970</v>
      </c>
      <c r="G18" s="4" t="s">
        <v>86</v>
      </c>
      <c r="H18" s="6" t="s">
        <v>87</v>
      </c>
      <c r="I18" s="6"/>
      <c r="J18" s="6"/>
      <c r="K18" s="6">
        <v>8</v>
      </c>
      <c r="L18" s="6" t="s">
        <v>22</v>
      </c>
      <c r="M18" s="6">
        <v>0.84</v>
      </c>
      <c r="N18" s="6">
        <v>0.68100000000000005</v>
      </c>
    </row>
    <row r="19" spans="1:14" ht="14.65" customHeight="1" x14ac:dyDescent="0.2">
      <c r="A19" s="3" t="s">
        <v>88</v>
      </c>
      <c r="B19" s="6" t="s">
        <v>89</v>
      </c>
      <c r="C19" s="6" t="s">
        <v>90</v>
      </c>
      <c r="D19" s="6" t="s">
        <v>91</v>
      </c>
      <c r="E19" s="6">
        <v>4</v>
      </c>
      <c r="F19" s="4">
        <v>9343253</v>
      </c>
      <c r="G19" s="6"/>
      <c r="H19" s="6"/>
      <c r="I19" s="6"/>
      <c r="J19" s="6"/>
      <c r="K19" s="6">
        <v>2</v>
      </c>
      <c r="L19" s="6" t="s">
        <v>46</v>
      </c>
      <c r="M19" s="6">
        <f>0.058*3</f>
        <v>0.17400000000000002</v>
      </c>
      <c r="N19" s="6">
        <f>0.0255*3</f>
        <v>7.6500000000000012E-2</v>
      </c>
    </row>
    <row r="20" spans="1:14" ht="14.65" customHeight="1" x14ac:dyDescent="0.2">
      <c r="A20" s="3" t="s">
        <v>92</v>
      </c>
      <c r="B20" s="3" t="s">
        <v>92</v>
      </c>
      <c r="C20" s="3" t="s">
        <v>93</v>
      </c>
      <c r="D20" s="3" t="s">
        <v>94</v>
      </c>
      <c r="E20" s="3">
        <v>1</v>
      </c>
      <c r="F20" s="4">
        <v>3152856</v>
      </c>
      <c r="G20" s="3" t="s">
        <v>95</v>
      </c>
      <c r="H20" s="6" t="s">
        <v>96</v>
      </c>
      <c r="I20" s="3"/>
      <c r="J20" s="8"/>
      <c r="K20" s="3">
        <v>2</v>
      </c>
      <c r="L20" s="3" t="s">
        <v>22</v>
      </c>
      <c r="M20" s="3">
        <v>0.122</v>
      </c>
      <c r="N20" s="3">
        <v>0.10400000000000001</v>
      </c>
    </row>
    <row r="21" spans="1:14" ht="14.65" customHeight="1" x14ac:dyDescent="0.2">
      <c r="A21" s="3" t="s">
        <v>88</v>
      </c>
      <c r="B21" s="3" t="s">
        <v>89</v>
      </c>
      <c r="C21" s="3" t="s">
        <v>97</v>
      </c>
      <c r="D21" s="3" t="s">
        <v>98</v>
      </c>
      <c r="E21" s="3">
        <v>1</v>
      </c>
      <c r="F21" s="4">
        <v>9338420</v>
      </c>
      <c r="G21" s="3" t="s">
        <v>99</v>
      </c>
      <c r="H21" s="3"/>
      <c r="I21" s="3"/>
      <c r="J21" s="8"/>
      <c r="K21" s="3">
        <v>2</v>
      </c>
      <c r="L21" s="3" t="s">
        <v>46</v>
      </c>
      <c r="M21" s="3">
        <v>6.0999999999999999E-2</v>
      </c>
      <c r="N21" s="3">
        <v>0.04</v>
      </c>
    </row>
    <row r="22" spans="1:14" ht="14.65" customHeight="1" x14ac:dyDescent="0.2">
      <c r="A22" s="6" t="s">
        <v>100</v>
      </c>
      <c r="B22" s="6" t="s">
        <v>101</v>
      </c>
      <c r="C22" s="6" t="s">
        <v>102</v>
      </c>
      <c r="D22" s="6" t="s">
        <v>103</v>
      </c>
      <c r="E22" s="6">
        <v>1</v>
      </c>
      <c r="F22" s="6">
        <v>1300026</v>
      </c>
      <c r="G22" s="6"/>
      <c r="H22" s="4" t="s">
        <v>104</v>
      </c>
      <c r="I22" s="6"/>
      <c r="J22" s="6" t="s">
        <v>105</v>
      </c>
      <c r="K22" s="6">
        <v>2</v>
      </c>
      <c r="L22" s="6" t="s">
        <v>46</v>
      </c>
      <c r="M22" s="6">
        <v>0.61</v>
      </c>
      <c r="N22" s="6">
        <v>0.51</v>
      </c>
    </row>
    <row r="23" spans="1:14" ht="14.65" customHeight="1" x14ac:dyDescent="0.2">
      <c r="A23" s="3" t="s">
        <v>106</v>
      </c>
      <c r="B23" s="3" t="s">
        <v>107</v>
      </c>
      <c r="C23" s="3" t="s">
        <v>108</v>
      </c>
      <c r="D23" s="3" t="s">
        <v>106</v>
      </c>
      <c r="E23" s="3">
        <v>1</v>
      </c>
      <c r="F23" s="4">
        <v>4913190</v>
      </c>
      <c r="G23" s="3" t="s">
        <v>109</v>
      </c>
      <c r="H23" s="3" t="s">
        <v>110</v>
      </c>
      <c r="J23" s="8"/>
      <c r="K23" s="3">
        <v>3</v>
      </c>
      <c r="L23" s="3" t="s">
        <v>22</v>
      </c>
      <c r="M23" s="3">
        <v>1.06</v>
      </c>
      <c r="N23" s="3">
        <v>0.53900000000000003</v>
      </c>
    </row>
    <row r="24" spans="1:14" ht="14.65" customHeight="1" x14ac:dyDescent="0.2">
      <c r="A24" s="6" t="s">
        <v>111</v>
      </c>
      <c r="B24" s="6" t="s">
        <v>112</v>
      </c>
      <c r="C24" s="6" t="s">
        <v>113</v>
      </c>
      <c r="D24" s="6" t="s">
        <v>114</v>
      </c>
      <c r="E24" s="6">
        <v>1</v>
      </c>
      <c r="F24" s="6">
        <v>2453831</v>
      </c>
      <c r="G24" s="6" t="s">
        <v>115</v>
      </c>
      <c r="H24" s="4" t="s">
        <v>116</v>
      </c>
      <c r="I24" s="6"/>
      <c r="J24" s="6"/>
      <c r="K24" s="6">
        <v>3</v>
      </c>
      <c r="L24" s="6" t="s">
        <v>22</v>
      </c>
      <c r="M24" s="3">
        <v>0.13800000000000001</v>
      </c>
      <c r="N24" s="3">
        <v>0.13800000000000001</v>
      </c>
    </row>
    <row r="25" spans="1:14" s="9" customFormat="1" ht="14.65" customHeight="1" x14ac:dyDescent="0.2">
      <c r="A25"/>
      <c r="B25"/>
      <c r="C25"/>
      <c r="D25"/>
      <c r="E25"/>
      <c r="F25"/>
      <c r="G25"/>
      <c r="H25"/>
      <c r="I25"/>
      <c r="J25"/>
      <c r="K25" s="12"/>
      <c r="L25" s="12"/>
      <c r="M25"/>
      <c r="N25"/>
    </row>
    <row r="26" spans="1:14" s="9" customFormat="1" ht="14.65" customHeight="1" x14ac:dyDescent="0.2">
      <c r="A26" s="23" t="s">
        <v>117</v>
      </c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</row>
    <row r="27" spans="1:14" s="9" customFormat="1" ht="14.65" customHeight="1" x14ac:dyDescent="0.2">
      <c r="A27" s="6" t="s">
        <v>118</v>
      </c>
      <c r="B27" s="6" t="s">
        <v>27</v>
      </c>
      <c r="C27" s="6" t="s">
        <v>28</v>
      </c>
      <c r="D27" s="6" t="s">
        <v>119</v>
      </c>
      <c r="E27" s="6">
        <v>1</v>
      </c>
      <c r="F27" s="13"/>
      <c r="G27" s="6" t="s">
        <v>120</v>
      </c>
      <c r="H27" s="6"/>
      <c r="I27" s="14"/>
      <c r="J27" s="4" t="s">
        <v>121</v>
      </c>
      <c r="K27" s="6">
        <v>5</v>
      </c>
      <c r="L27" s="6" t="s">
        <v>22</v>
      </c>
      <c r="M27" s="6">
        <f>6.32/7</f>
        <v>0.90285714285714291</v>
      </c>
      <c r="N27" s="6">
        <f>5.25/7</f>
        <v>0.75</v>
      </c>
    </row>
    <row r="28" spans="1:14" ht="14.65" customHeight="1" x14ac:dyDescent="0.2">
      <c r="A28" s="6" t="s">
        <v>122</v>
      </c>
      <c r="B28" s="6" t="s">
        <v>63</v>
      </c>
      <c r="C28" s="6" t="s">
        <v>63</v>
      </c>
      <c r="D28" s="6" t="s">
        <v>123</v>
      </c>
      <c r="E28" s="6">
        <v>4</v>
      </c>
      <c r="F28" s="6"/>
      <c r="G28" s="13" t="s">
        <v>124</v>
      </c>
      <c r="H28" s="13"/>
      <c r="I28" s="6"/>
      <c r="J28" s="4" t="s">
        <v>125</v>
      </c>
      <c r="K28" s="6">
        <v>2</v>
      </c>
      <c r="L28" s="6" t="s">
        <v>22</v>
      </c>
      <c r="M28" s="3">
        <f>4*7.84</f>
        <v>31.36</v>
      </c>
      <c r="N28" s="3">
        <f>4*4.4</f>
        <v>17.600000000000001</v>
      </c>
    </row>
    <row r="29" spans="1:14" ht="14.65" customHeight="1" x14ac:dyDescent="0.2">
      <c r="A29" s="6" t="s">
        <v>126</v>
      </c>
      <c r="B29" s="6" t="s">
        <v>63</v>
      </c>
      <c r="C29" s="6" t="s">
        <v>63</v>
      </c>
      <c r="D29" s="6" t="s">
        <v>63</v>
      </c>
      <c r="E29" s="6">
        <v>1</v>
      </c>
      <c r="F29" s="6"/>
      <c r="G29" s="6"/>
      <c r="H29" s="6"/>
      <c r="I29" s="6"/>
      <c r="J29" s="6" t="s">
        <v>127</v>
      </c>
      <c r="K29" s="6" t="s">
        <v>46</v>
      </c>
      <c r="L29" s="6" t="s">
        <v>22</v>
      </c>
      <c r="M29" s="6">
        <v>8</v>
      </c>
      <c r="N29" s="6">
        <v>0</v>
      </c>
    </row>
    <row r="30" spans="1:14" ht="14.65" customHeight="1" x14ac:dyDescent="0.2">
      <c r="A30" s="6" t="s">
        <v>128</v>
      </c>
      <c r="B30" s="6" t="s">
        <v>63</v>
      </c>
      <c r="C30" s="6" t="s">
        <v>63</v>
      </c>
      <c r="D30" s="6" t="s">
        <v>63</v>
      </c>
      <c r="E30" s="6">
        <v>1</v>
      </c>
      <c r="F30" s="6"/>
      <c r="G30" s="6"/>
      <c r="H30" s="6"/>
      <c r="I30" s="6"/>
      <c r="J30" s="6" t="s">
        <v>129</v>
      </c>
      <c r="K30" s="6">
        <v>5</v>
      </c>
      <c r="L30" s="6" t="s">
        <v>46</v>
      </c>
      <c r="M30" s="6">
        <v>0.35</v>
      </c>
      <c r="N30" s="6">
        <v>0.2</v>
      </c>
    </row>
    <row r="31" spans="1:14" ht="14.65" customHeight="1" x14ac:dyDescent="0.2">
      <c r="A31" s="6" t="s">
        <v>130</v>
      </c>
      <c r="B31" s="6" t="s">
        <v>63</v>
      </c>
      <c r="C31" s="6" t="s">
        <v>63</v>
      </c>
      <c r="D31" s="6" t="s">
        <v>63</v>
      </c>
      <c r="E31" s="6">
        <v>4</v>
      </c>
      <c r="F31" s="4">
        <v>7047496</v>
      </c>
      <c r="G31" s="13"/>
      <c r="H31" s="13"/>
      <c r="I31" s="6"/>
      <c r="J31" s="6"/>
      <c r="K31" s="6" t="s">
        <v>46</v>
      </c>
      <c r="L31" s="6" t="s">
        <v>22</v>
      </c>
      <c r="M31" s="6">
        <v>2.4900000000000002</v>
      </c>
      <c r="N31" s="6">
        <f>2.49/12</f>
        <v>0.20750000000000002</v>
      </c>
    </row>
    <row r="32" spans="1:14" ht="14.65" customHeight="1" x14ac:dyDescent="0.2">
      <c r="A32" s="6" t="s">
        <v>131</v>
      </c>
      <c r="B32" s="6" t="s">
        <v>63</v>
      </c>
      <c r="C32" s="6" t="s">
        <v>63</v>
      </c>
      <c r="D32" s="6" t="s">
        <v>63</v>
      </c>
      <c r="E32" s="6">
        <v>1</v>
      </c>
      <c r="F32" s="6"/>
      <c r="G32" s="6"/>
      <c r="H32" s="6"/>
      <c r="I32" s="6" t="s">
        <v>132</v>
      </c>
      <c r="J32" s="4" t="s">
        <v>133</v>
      </c>
      <c r="K32" s="6" t="s">
        <v>46</v>
      </c>
      <c r="L32" s="6" t="s">
        <v>46</v>
      </c>
      <c r="M32" s="3">
        <v>5</v>
      </c>
      <c r="N32" s="3">
        <v>2.98</v>
      </c>
    </row>
    <row r="33" spans="1:14" ht="14.65" customHeight="1" x14ac:dyDescent="0.2">
      <c r="A33" s="6" t="s">
        <v>134</v>
      </c>
      <c r="B33" s="6" t="s">
        <v>63</v>
      </c>
      <c r="C33" s="6" t="s">
        <v>63</v>
      </c>
      <c r="D33" s="6" t="s">
        <v>63</v>
      </c>
      <c r="E33" s="6">
        <v>1</v>
      </c>
      <c r="F33" s="6"/>
      <c r="G33" s="6"/>
      <c r="H33" s="6"/>
      <c r="I33" s="6"/>
      <c r="J33" s="6" t="s">
        <v>135</v>
      </c>
      <c r="K33" s="6" t="s">
        <v>46</v>
      </c>
      <c r="L33" s="6" t="s">
        <v>46</v>
      </c>
      <c r="M33" s="3">
        <v>1.7000000000000002</v>
      </c>
      <c r="N33" s="3">
        <f>1.7/20</f>
        <v>8.5000000000000006E-2</v>
      </c>
    </row>
    <row r="34" spans="1:14" ht="14.65" customHeight="1" x14ac:dyDescent="0.2">
      <c r="A34" s="6" t="s">
        <v>136</v>
      </c>
      <c r="B34" s="6" t="s">
        <v>63</v>
      </c>
      <c r="C34" s="6" t="s">
        <v>63</v>
      </c>
      <c r="D34" s="6" t="s">
        <v>63</v>
      </c>
      <c r="E34" s="6">
        <v>1</v>
      </c>
      <c r="F34" s="6"/>
      <c r="G34" s="6"/>
      <c r="H34" s="6"/>
      <c r="I34" s="6"/>
      <c r="J34" s="6" t="s">
        <v>127</v>
      </c>
      <c r="K34" s="6" t="s">
        <v>46</v>
      </c>
      <c r="L34" s="6" t="s">
        <v>46</v>
      </c>
      <c r="M34" s="6">
        <v>8</v>
      </c>
      <c r="N34" s="6">
        <v>3.44</v>
      </c>
    </row>
    <row r="35" spans="1:14" ht="14.65" customHeight="1" x14ac:dyDescent="0.2">
      <c r="A35" s="6" t="s">
        <v>137</v>
      </c>
      <c r="B35" s="6" t="s">
        <v>63</v>
      </c>
      <c r="C35" s="6" t="s">
        <v>63</v>
      </c>
      <c r="D35" s="14" t="s">
        <v>63</v>
      </c>
      <c r="E35" s="6">
        <v>4</v>
      </c>
      <c r="F35" s="6"/>
      <c r="G35" s="13"/>
      <c r="H35" s="13"/>
      <c r="I35" s="6"/>
      <c r="J35" s="4" t="s">
        <v>138</v>
      </c>
      <c r="K35" s="6" t="s">
        <v>46</v>
      </c>
      <c r="L35" s="6" t="s">
        <v>46</v>
      </c>
      <c r="M35" s="6">
        <f>2.58*4</f>
        <v>10.32</v>
      </c>
      <c r="N35" s="6">
        <f>0.0665*4</f>
        <v>0.26600000000000001</v>
      </c>
    </row>
    <row r="36" spans="1:14" ht="14.65" customHeight="1" x14ac:dyDescent="0.2">
      <c r="A36" s="6" t="s">
        <v>139</v>
      </c>
      <c r="B36" s="6" t="s">
        <v>63</v>
      </c>
      <c r="C36" s="6" t="s">
        <v>63</v>
      </c>
      <c r="D36" s="6" t="s">
        <v>63</v>
      </c>
      <c r="E36" s="6">
        <v>4</v>
      </c>
      <c r="F36" s="6">
        <v>1165074</v>
      </c>
      <c r="G36" s="4" t="s">
        <v>140</v>
      </c>
      <c r="H36" s="6"/>
      <c r="I36" s="6"/>
      <c r="J36" s="6"/>
      <c r="K36" s="6" t="s">
        <v>46</v>
      </c>
      <c r="L36" s="6" t="s">
        <v>22</v>
      </c>
      <c r="M36" s="6">
        <v>4.88</v>
      </c>
      <c r="N36" s="6">
        <f>4.88/14</f>
        <v>0.34857142857142859</v>
      </c>
    </row>
    <row r="37" spans="1:14" ht="14.65" customHeight="1" x14ac:dyDescent="0.2">
      <c r="A37" s="3" t="s">
        <v>141</v>
      </c>
      <c r="B37" s="3" t="s">
        <v>142</v>
      </c>
      <c r="C37" s="3" t="s">
        <v>141</v>
      </c>
      <c r="D37" s="3" t="s">
        <v>143</v>
      </c>
      <c r="E37" s="3">
        <v>1</v>
      </c>
      <c r="F37" s="3"/>
      <c r="G37" s="3" t="s">
        <v>144</v>
      </c>
      <c r="H37" s="3"/>
      <c r="I37" s="10"/>
      <c r="J37" s="4" t="s">
        <v>145</v>
      </c>
      <c r="K37" s="3">
        <v>33</v>
      </c>
      <c r="L37" s="3" t="s">
        <v>22</v>
      </c>
      <c r="M37" s="6">
        <v>12.5</v>
      </c>
      <c r="N37" s="6">
        <v>12.5</v>
      </c>
    </row>
    <row r="38" spans="1:14" ht="14.65" customHeight="1" x14ac:dyDescent="0.2">
      <c r="A38" s="6" t="s">
        <v>146</v>
      </c>
      <c r="B38" s="6" t="s">
        <v>63</v>
      </c>
      <c r="C38" s="6" t="s">
        <v>63</v>
      </c>
      <c r="D38" s="6" t="s">
        <v>63</v>
      </c>
      <c r="E38" s="6">
        <v>1</v>
      </c>
      <c r="F38" s="6"/>
      <c r="G38" s="6"/>
      <c r="H38" s="6"/>
      <c r="I38" s="6"/>
      <c r="J38" s="4" t="s">
        <v>147</v>
      </c>
      <c r="K38" s="6" t="s">
        <v>46</v>
      </c>
      <c r="L38" s="6" t="s">
        <v>46</v>
      </c>
      <c r="M38" s="6">
        <v>7.5</v>
      </c>
      <c r="N38" s="6">
        <v>6.5</v>
      </c>
    </row>
    <row r="39" spans="1:14" ht="14.65" customHeight="1" x14ac:dyDescent="0.2">
      <c r="A39" s="6" t="s">
        <v>148</v>
      </c>
      <c r="B39" s="6" t="s">
        <v>63</v>
      </c>
      <c r="C39" s="6" t="s">
        <v>63</v>
      </c>
      <c r="D39" s="6" t="s">
        <v>63</v>
      </c>
      <c r="E39" s="6">
        <v>1</v>
      </c>
      <c r="F39" s="6"/>
      <c r="G39" s="6"/>
      <c r="H39" s="6"/>
      <c r="I39" s="15" t="s">
        <v>149</v>
      </c>
      <c r="J39" s="6" t="s">
        <v>150</v>
      </c>
      <c r="K39" s="6" t="s">
        <v>46</v>
      </c>
      <c r="L39" s="6" t="s">
        <v>46</v>
      </c>
      <c r="M39" s="3">
        <v>2.1800000000000002</v>
      </c>
      <c r="N39" s="3">
        <v>1.2</v>
      </c>
    </row>
    <row r="40" spans="1:14" ht="14.65" customHeight="1" x14ac:dyDescent="0.2">
      <c r="A40" s="14" t="s">
        <v>151</v>
      </c>
      <c r="B40" s="14" t="s">
        <v>63</v>
      </c>
      <c r="C40" s="14" t="s">
        <v>63</v>
      </c>
      <c r="D40" s="14" t="s">
        <v>63</v>
      </c>
      <c r="E40" s="14">
        <v>1</v>
      </c>
      <c r="F40" s="14" t="s">
        <v>63</v>
      </c>
      <c r="G40" s="14" t="s">
        <v>63</v>
      </c>
      <c r="H40" s="14"/>
      <c r="I40" s="4" t="s">
        <v>152</v>
      </c>
      <c r="J40" s="14"/>
      <c r="K40" s="14" t="s">
        <v>63</v>
      </c>
      <c r="L40" s="14" t="s">
        <v>63</v>
      </c>
      <c r="M40" s="6">
        <v>2</v>
      </c>
      <c r="N40" s="6">
        <v>2</v>
      </c>
    </row>
    <row r="41" spans="1:14" ht="14.65" customHeight="1" x14ac:dyDescent="0.2">
      <c r="A41" s="14" t="s">
        <v>153</v>
      </c>
      <c r="B41" s="14" t="s">
        <v>63</v>
      </c>
      <c r="C41" s="14" t="s">
        <v>63</v>
      </c>
      <c r="D41" s="14" t="s">
        <v>63</v>
      </c>
      <c r="E41" s="14">
        <v>1</v>
      </c>
      <c r="F41" s="14" t="s">
        <v>63</v>
      </c>
      <c r="G41" s="14" t="s">
        <v>63</v>
      </c>
      <c r="H41" s="14"/>
      <c r="I41" s="4" t="s">
        <v>154</v>
      </c>
      <c r="J41" s="14"/>
      <c r="K41" s="14" t="s">
        <v>63</v>
      </c>
      <c r="L41" s="14" t="s">
        <v>63</v>
      </c>
      <c r="M41" s="6">
        <v>4</v>
      </c>
      <c r="N41" s="6">
        <v>3</v>
      </c>
    </row>
    <row r="42" spans="1:14" ht="14.65" customHeight="1" x14ac:dyDescent="0.2">
      <c r="A42" s="14" t="s">
        <v>155</v>
      </c>
      <c r="B42" s="14" t="s">
        <v>63</v>
      </c>
      <c r="C42" s="14" t="s">
        <v>63</v>
      </c>
      <c r="D42" s="14" t="s">
        <v>63</v>
      </c>
      <c r="E42" s="14">
        <v>1</v>
      </c>
      <c r="F42" s="14" t="s">
        <v>63</v>
      </c>
      <c r="G42" s="14" t="s">
        <v>63</v>
      </c>
      <c r="H42" s="14"/>
      <c r="I42" s="14" t="s">
        <v>63</v>
      </c>
      <c r="J42" s="14" t="s">
        <v>63</v>
      </c>
      <c r="K42" s="14" t="s">
        <v>63</v>
      </c>
      <c r="L42" s="14" t="s">
        <v>63</v>
      </c>
      <c r="M42" s="14">
        <v>6</v>
      </c>
      <c r="N42" s="14">
        <v>6</v>
      </c>
    </row>
    <row r="43" spans="1:14" ht="14.65" customHeight="1" x14ac:dyDescent="0.2"/>
    <row r="44" spans="1:14" ht="14.1" customHeight="1" x14ac:dyDescent="0.2">
      <c r="A44" s="23" t="s">
        <v>156</v>
      </c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</row>
    <row r="45" spans="1:14" ht="14.1" customHeight="1" x14ac:dyDescent="0.2">
      <c r="A45" s="6" t="s">
        <v>157</v>
      </c>
      <c r="B45" s="6" t="s">
        <v>63</v>
      </c>
      <c r="C45" s="6" t="s">
        <v>63</v>
      </c>
      <c r="D45" s="6" t="s">
        <v>63</v>
      </c>
      <c r="E45" s="6">
        <v>4</v>
      </c>
      <c r="F45" s="4">
        <v>7070706</v>
      </c>
      <c r="G45" s="6" t="s">
        <v>158</v>
      </c>
      <c r="H45" s="6"/>
      <c r="I45" s="14"/>
      <c r="J45" s="6"/>
      <c r="K45" s="6" t="s">
        <v>46</v>
      </c>
      <c r="L45" s="6" t="s">
        <v>22</v>
      </c>
      <c r="M45" s="6">
        <f>4*0.23</f>
        <v>0.92</v>
      </c>
      <c r="N45" s="6">
        <f>5.09/25</f>
        <v>0.2036</v>
      </c>
    </row>
    <row r="46" spans="1:14" ht="14.1" customHeight="1" x14ac:dyDescent="0.2">
      <c r="A46" s="14" t="s">
        <v>159</v>
      </c>
      <c r="B46" s="14" t="s">
        <v>63</v>
      </c>
      <c r="C46" s="14" t="s">
        <v>63</v>
      </c>
      <c r="D46" s="14" t="s">
        <v>63</v>
      </c>
      <c r="E46" s="14">
        <v>1</v>
      </c>
      <c r="F46" s="14" t="s">
        <v>63</v>
      </c>
      <c r="G46" s="14" t="s">
        <v>63</v>
      </c>
      <c r="H46" s="14"/>
      <c r="I46" s="14" t="s">
        <v>63</v>
      </c>
      <c r="J46" s="14"/>
      <c r="K46" s="14" t="s">
        <v>63</v>
      </c>
      <c r="L46" s="14" t="s">
        <v>63</v>
      </c>
      <c r="M46" s="6">
        <v>4</v>
      </c>
      <c r="N46" s="6">
        <v>4</v>
      </c>
    </row>
    <row r="47" spans="1:14" ht="14.1" customHeight="1" x14ac:dyDescent="0.2">
      <c r="A47" s="6" t="s">
        <v>160</v>
      </c>
      <c r="B47" s="6" t="s">
        <v>63</v>
      </c>
      <c r="C47" s="6" t="s">
        <v>63</v>
      </c>
      <c r="D47" s="6" t="s">
        <v>63</v>
      </c>
      <c r="E47" s="6">
        <v>1</v>
      </c>
      <c r="F47" s="6"/>
      <c r="G47" s="6"/>
      <c r="H47" s="6"/>
      <c r="I47" s="6"/>
      <c r="J47" s="6" t="s">
        <v>161</v>
      </c>
      <c r="K47" s="6" t="s">
        <v>46</v>
      </c>
      <c r="L47" s="6" t="s">
        <v>22</v>
      </c>
      <c r="M47" s="6">
        <v>4</v>
      </c>
      <c r="N47" s="6">
        <v>2</v>
      </c>
    </row>
    <row r="48" spans="1:14" ht="14.1" customHeight="1" x14ac:dyDescent="0.2">
      <c r="A48" s="6" t="s">
        <v>162</v>
      </c>
      <c r="B48" s="6" t="s">
        <v>63</v>
      </c>
      <c r="C48" s="6" t="s">
        <v>63</v>
      </c>
      <c r="D48" s="6" t="s">
        <v>63</v>
      </c>
      <c r="E48" s="6">
        <v>4</v>
      </c>
      <c r="F48" s="4">
        <v>7070585</v>
      </c>
      <c r="G48" s="6" t="s">
        <v>163</v>
      </c>
      <c r="H48" s="6"/>
      <c r="I48" s="6"/>
      <c r="J48" s="6"/>
      <c r="K48" s="6" t="s">
        <v>46</v>
      </c>
      <c r="L48" s="6" t="s">
        <v>46</v>
      </c>
      <c r="M48" s="6">
        <v>5.68</v>
      </c>
      <c r="N48" s="6">
        <f>5.68/25</f>
        <v>0.22719999999999999</v>
      </c>
    </row>
    <row r="50" spans="1:14" ht="14.1" customHeight="1" x14ac:dyDescent="0.2">
      <c r="A50" s="23" t="s">
        <v>164</v>
      </c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</row>
    <row r="51" spans="1:14" ht="14.1" customHeight="1" x14ac:dyDescent="0.2">
      <c r="A51" s="6" t="s">
        <v>162</v>
      </c>
      <c r="B51" s="6" t="s">
        <v>63</v>
      </c>
      <c r="C51" s="6" t="s">
        <v>63</v>
      </c>
      <c r="D51" s="6" t="s">
        <v>63</v>
      </c>
      <c r="E51" s="6">
        <v>2</v>
      </c>
      <c r="F51" s="4">
        <v>7070585</v>
      </c>
      <c r="G51" s="6" t="s">
        <v>163</v>
      </c>
      <c r="H51" s="6"/>
      <c r="I51" s="6"/>
      <c r="J51" s="6"/>
      <c r="K51" s="6" t="s">
        <v>46</v>
      </c>
      <c r="L51" s="6" t="s">
        <v>46</v>
      </c>
      <c r="M51" s="6">
        <v>5.68</v>
      </c>
      <c r="N51" s="6">
        <f>5.68/25</f>
        <v>0.22719999999999999</v>
      </c>
    </row>
    <row r="52" spans="1:14" ht="14.1" customHeight="1" x14ac:dyDescent="0.2">
      <c r="A52" s="6" t="s">
        <v>165</v>
      </c>
      <c r="B52" s="6" t="s">
        <v>63</v>
      </c>
      <c r="C52" s="6" t="s">
        <v>63</v>
      </c>
      <c r="D52" s="6" t="s">
        <v>63</v>
      </c>
      <c r="E52" s="6">
        <v>4</v>
      </c>
      <c r="F52" s="4"/>
      <c r="G52" s="6"/>
      <c r="H52" s="6"/>
      <c r="I52" s="14"/>
      <c r="J52" s="6"/>
      <c r="K52" s="6" t="s">
        <v>46</v>
      </c>
      <c r="L52" s="6" t="s">
        <v>46</v>
      </c>
      <c r="M52" s="6">
        <f>4*0.23</f>
        <v>0.92</v>
      </c>
      <c r="N52" s="6">
        <f>5.09/25</f>
        <v>0.2036</v>
      </c>
    </row>
    <row r="53" spans="1:14" ht="19.5" customHeight="1" x14ac:dyDescent="0.2">
      <c r="A53" s="6" t="s">
        <v>166</v>
      </c>
      <c r="B53" s="6" t="s">
        <v>63</v>
      </c>
      <c r="C53" s="6" t="s">
        <v>63</v>
      </c>
      <c r="D53" s="6" t="s">
        <v>63</v>
      </c>
      <c r="E53" s="6">
        <v>1</v>
      </c>
      <c r="F53" s="6"/>
      <c r="G53" s="6"/>
      <c r="H53" s="6"/>
      <c r="I53" s="6"/>
      <c r="J53" s="6"/>
      <c r="K53" s="6" t="s">
        <v>46</v>
      </c>
      <c r="L53" s="6" t="s">
        <v>46</v>
      </c>
      <c r="M53" s="6">
        <v>3</v>
      </c>
      <c r="N53" s="6">
        <v>2</v>
      </c>
    </row>
    <row r="54" spans="1:14" ht="14.1" customHeight="1" x14ac:dyDescent="0.25">
      <c r="L54" s="16" t="s">
        <v>167</v>
      </c>
      <c r="M54" s="17">
        <f>SUM(M3:M48)</f>
        <v>145.77485714285712</v>
      </c>
      <c r="N54" s="17">
        <f>SUM(N3:N48)</f>
        <v>79.430871428571422</v>
      </c>
    </row>
    <row r="55" spans="1:14" ht="14.1" customHeight="1" x14ac:dyDescent="0.25">
      <c r="L55" s="16" t="s">
        <v>168</v>
      </c>
      <c r="M55" s="18">
        <f>SUM(M3:M42)+SUM(M51:M53)</f>
        <v>140.77485714285712</v>
      </c>
      <c r="N55" s="18">
        <f>SUM(N3:N42)+SUM(N51:N53)</f>
        <v>75.430871428571436</v>
      </c>
    </row>
    <row r="56" spans="1:14" ht="14.1" customHeight="1" x14ac:dyDescent="0.2">
      <c r="L56" s="19" t="s">
        <v>169</v>
      </c>
      <c r="M56" s="18">
        <v>25</v>
      </c>
      <c r="N56" s="18">
        <f>25/100</f>
        <v>0.25</v>
      </c>
    </row>
    <row r="57" spans="1:14" ht="14.1" customHeight="1" x14ac:dyDescent="0.2">
      <c r="A57" s="22" t="s">
        <v>178</v>
      </c>
      <c r="B57" s="22"/>
      <c r="C57" s="22" t="s">
        <v>174</v>
      </c>
      <c r="E57">
        <v>1</v>
      </c>
      <c r="J57" s="22" t="s">
        <v>173</v>
      </c>
      <c r="L57" s="19"/>
      <c r="M57" s="18">
        <v>1.69</v>
      </c>
      <c r="N57" s="18">
        <v>1.39</v>
      </c>
    </row>
    <row r="58" spans="1:14" ht="14.1" customHeight="1" x14ac:dyDescent="0.2">
      <c r="A58" s="22" t="s">
        <v>177</v>
      </c>
      <c r="B58" s="22"/>
      <c r="C58" s="22" t="s">
        <v>176</v>
      </c>
      <c r="E58">
        <v>1</v>
      </c>
      <c r="J58" s="22" t="s">
        <v>175</v>
      </c>
      <c r="M58" s="18">
        <v>0.55000000000000004</v>
      </c>
      <c r="N58" s="18">
        <v>0.51</v>
      </c>
    </row>
    <row r="59" spans="1:14" ht="14.1" customHeight="1" x14ac:dyDescent="0.25">
      <c r="L59" s="20" t="s">
        <v>170</v>
      </c>
      <c r="M59" s="21">
        <f>(M54+M56+M57+M58)*1.2</f>
        <v>207.61782857142853</v>
      </c>
      <c r="N59" s="21">
        <f>(N54+N56+N57+N58)*1.2</f>
        <v>97.89704571428571</v>
      </c>
    </row>
    <row r="60" spans="1:14" ht="14.1" customHeight="1" x14ac:dyDescent="0.25">
      <c r="L60" s="20" t="s">
        <v>171</v>
      </c>
      <c r="M60" s="21">
        <f>(M55+M56+M57+M58)*1.2</f>
        <v>201.61782857142853</v>
      </c>
      <c r="N60" s="21">
        <f>(N55+N56+N57+N58)*1.2</f>
        <v>93.097045714285727</v>
      </c>
    </row>
    <row r="61" spans="1:14" ht="14.1" customHeight="1" x14ac:dyDescent="0.2">
      <c r="L61" t="s">
        <v>172</v>
      </c>
    </row>
    <row r="65533" ht="12.75" customHeight="1" x14ac:dyDescent="0.2"/>
    <row r="65534" ht="12.75" customHeight="1" x14ac:dyDescent="0.2"/>
    <row r="65535" ht="12.75" customHeight="1" x14ac:dyDescent="0.2"/>
    <row r="65536" ht="12.75" customHeight="1" x14ac:dyDescent="0.2"/>
  </sheetData>
  <sheetProtection selectLockedCells="1" selectUnlockedCells="1"/>
  <mergeCells count="5">
    <mergeCell ref="A2:N2"/>
    <mergeCell ref="J13:J15"/>
    <mergeCell ref="A26:N26"/>
    <mergeCell ref="A44:N44"/>
    <mergeCell ref="A50:N50"/>
  </mergeCells>
  <pageMargins left="0.78749999999999998" right="0.78749999999999998" top="0.78749999999999998" bottom="0.78749999999999998" header="0.51180555555555551" footer="0.51180555555555551"/>
  <pageSetup paperSize="9" scale="71" orientation="landscape" useFirstPageNumber="1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621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FLipmouse Partlist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Ryan Hunsaker</cp:lastModifiedBy>
  <cp:revision>82</cp:revision>
  <cp:lastPrinted>2016-05-18T07:29:20Z</cp:lastPrinted>
  <dcterms:created xsi:type="dcterms:W3CDTF">1601-01-01T00:00:00Z</dcterms:created>
  <dcterms:modified xsi:type="dcterms:W3CDTF">2026-04-13T19:46:13Z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qrichtext">
    <vt:lpwstr>1</vt:lpwstr>
  </property>
</Properties>
</file>